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cision\JD AUTOMATION Dropbox\ALBERTO MORALES\PROYECTO SIGRAMA PLANTA METALES\0016 - Bending RFQ\"/>
    </mc:Choice>
  </mc:AlternateContent>
  <xr:revisionPtr revIDLastSave="0" documentId="13_ncr:1_{8832B6AD-016C-49CD-A56F-9FC1F2B91A67}" xr6:coauthVersionLast="47" xr6:coauthVersionMax="47" xr10:uidLastSave="{00000000-0000-0000-0000-000000000000}"/>
  <bookViews>
    <workbookView xWindow="-120" yWindow="-120" windowWidth="24240" windowHeight="13020" activeTab="1" xr2:uid="{8582D8C9-330F-43D9-BF32-76DC171338C0}"/>
  </bookViews>
  <sheets>
    <sheet name="Ejemplo" sheetId="1" r:id="rId1"/>
    <sheet name="Cobre" sheetId="3" r:id="rId2"/>
    <sheet name="B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B21" i="3" s="1"/>
  <c r="B23" i="3" s="1"/>
  <c r="B4" i="3"/>
  <c r="E8" i="3"/>
  <c r="D25" i="1"/>
  <c r="B25" i="1"/>
  <c r="B23" i="1"/>
  <c r="B21" i="1"/>
  <c r="E8" i="1"/>
  <c r="B18" i="1"/>
  <c r="B19" i="1" s="1"/>
  <c r="B18" i="3" l="1"/>
  <c r="B19" i="3" s="1"/>
  <c r="B24" i="3" s="1"/>
  <c r="D24" i="3" s="1"/>
  <c r="F24" i="3" s="1"/>
</calcChain>
</file>

<file path=xl/sharedStrings.xml><?xml version="1.0" encoding="utf-8"?>
<sst xmlns="http://schemas.openxmlformats.org/spreadsheetml/2006/main" count="81" uniqueCount="38">
  <si>
    <t>MPa</t>
  </si>
  <si>
    <t>Modulo de Elasticidad</t>
  </si>
  <si>
    <t>Resistencia a la Fluencia</t>
  </si>
  <si>
    <t>Resistencia a la Tensión</t>
  </si>
  <si>
    <t>a</t>
  </si>
  <si>
    <t>a) El tamaño de la Pieza</t>
  </si>
  <si>
    <t>b) Fuerza de Doblado</t>
  </si>
  <si>
    <t>???</t>
  </si>
  <si>
    <t>Troquel en V</t>
  </si>
  <si>
    <t>mm</t>
  </si>
  <si>
    <t>R/t</t>
  </si>
  <si>
    <t>Ancho w</t>
  </si>
  <si>
    <t>Radio R</t>
  </si>
  <si>
    <t>Espesor t</t>
  </si>
  <si>
    <t>Kbf</t>
  </si>
  <si>
    <t>(R/t&lt; 2) Kbf =</t>
  </si>
  <si>
    <t>(R/t&gt; 2) Kbf =</t>
  </si>
  <si>
    <t>Ab =</t>
  </si>
  <si>
    <t>α</t>
  </si>
  <si>
    <t>R</t>
  </si>
  <si>
    <t>R&lt;2t</t>
  </si>
  <si>
    <t>R&gt;2t</t>
  </si>
  <si>
    <t>b</t>
  </si>
  <si>
    <t>a) Longitud Final</t>
  </si>
  <si>
    <t>a) Fuerza de Doblado</t>
  </si>
  <si>
    <t>N</t>
  </si>
  <si>
    <t>INGENIERIA DE DOBLADO</t>
  </si>
  <si>
    <t>°</t>
  </si>
  <si>
    <t>KG</t>
  </si>
  <si>
    <t>TON</t>
  </si>
  <si>
    <t>Cobre</t>
  </si>
  <si>
    <t>Alumino</t>
  </si>
  <si>
    <t>Acero Comercial</t>
  </si>
  <si>
    <t>Resistencia a la Tensión (MPa)</t>
  </si>
  <si>
    <t>Material</t>
  </si>
  <si>
    <t>Acero Inoxidable</t>
  </si>
  <si>
    <t>Bronce</t>
  </si>
  <si>
    <t>Materla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</si>
</sst>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43" fontId="0" fillId="0" borderId="0" xfId="1" applyFont="1"/>
    <xf numFmtId="0" fontId="2" fillId="0" borderId="0" xfId="0" applyFont="1"/>
    <xf numFmtId="43" fontId="2" fillId="0" borderId="0" xfId="1" applyFont="1"/>
    <xf numFmtId="43" fontId="4" fillId="0" borderId="0" xfId="1" applyFont="1"/>
    <xf numFmtId="0" fontId="2" fillId="2" borderId="0" xfId="0" applyFont="1" applyFill="1"/>
    <xf numFmtId="165" fontId="2" fillId="0" borderId="0" xfId="1" applyNumberFormat="1" applyFo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3" fontId="0" fillId="0" borderId="0" xfId="0" applyNumberFormat="1" applyAlignment="1">
      <alignment horizontal="right"/>
    </xf>
    <xf numFmtId="165" fontId="6" fillId="0" borderId="0" xfId="1" applyNumberFormat="1" applyFont="1"/>
    <xf numFmtId="0" fontId="0" fillId="5" borderId="0" xfId="0" applyFill="1"/>
    <xf numFmtId="0" fontId="9" fillId="4" borderId="0" xfId="0" applyFont="1" applyFill="1" applyAlignment="1">
      <alignment horizontal="left" vertical="center"/>
    </xf>
    <xf numFmtId="165" fontId="3" fillId="4" borderId="0" xfId="1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165" fontId="6" fillId="6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0" fontId="0" fillId="0" borderId="0" xfId="0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165" fontId="5" fillId="2" borderId="0" xfId="1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0" fillId="2" borderId="0" xfId="1" applyNumberFormat="1" applyFont="1" applyFill="1" applyAlignment="1">
      <alignment vertical="center"/>
    </xf>
    <xf numFmtId="43" fontId="0" fillId="0" borderId="0" xfId="1" applyFont="1" applyAlignment="1">
      <alignment vertical="center"/>
    </xf>
    <xf numFmtId="43" fontId="5" fillId="2" borderId="0" xfId="1" applyFont="1" applyFill="1" applyAlignment="1">
      <alignment vertical="center"/>
    </xf>
    <xf numFmtId="43" fontId="2" fillId="0" borderId="0" xfId="1" applyFont="1" applyAlignment="1">
      <alignment vertical="center"/>
    </xf>
    <xf numFmtId="43" fontId="4" fillId="0" borderId="0" xfId="1" applyFont="1" applyAlignment="1">
      <alignment vertical="center"/>
    </xf>
    <xf numFmtId="165" fontId="2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8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109285</xdr:colOff>
      <xdr:row>0</xdr:row>
      <xdr:rowOff>0</xdr:rowOff>
    </xdr:from>
    <xdr:to>
      <xdr:col>17</xdr:col>
      <xdr:colOff>437537</xdr:colOff>
      <xdr:row>21</xdr:row>
      <xdr:rowOff>32101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AC76E6-2A73-9B7D-5661-A7D68237F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6210" y="0"/>
          <a:ext cx="4900252" cy="4242151"/>
        </a:xfrm>
        <a:prstGeom prst="rect">
          <a:avLst/>
        </a:prstGeom>
      </xdr:spPr>
    </xdr:pic>
    <xdr:clientData/>
  </xdr:twoCellAnchor>
  <xdr:twoCellAnchor editAs="oneCell">
    <xdr:from>
      <xdr:col>3</xdr:col>
      <xdr:colOff>164122</xdr:colOff>
      <xdr:row>1</xdr:row>
      <xdr:rowOff>52754</xdr:rowOff>
    </xdr:from>
    <xdr:to>
      <xdr:col>5</xdr:col>
      <xdr:colOff>73269</xdr:colOff>
      <xdr:row>4</xdr:row>
      <xdr:rowOff>113985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C9830E-FE17-7668-F052-A9DE0977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9347" y="452804"/>
          <a:ext cx="1318847" cy="632731"/>
        </a:xfrm>
        <a:prstGeom prst="rect">
          <a:avLst/>
        </a:prstGeom>
      </xdr:spPr>
    </xdr:pic>
    <xdr:clientData/>
  </xdr:twoCellAnchor>
  <xdr:twoCellAnchor editAs="oneCell">
    <xdr:from>
      <xdr:col>6</xdr:col>
      <xdr:colOff>29308</xdr:colOff>
      <xdr:row>0</xdr:row>
      <xdr:rowOff>0</xdr:rowOff>
    </xdr:from>
    <xdr:to>
      <xdr:col>9</xdr:col>
      <xdr:colOff>111112</xdr:colOff>
      <xdr:row>8</xdr:row>
      <xdr:rowOff>59711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08EAAC-FFE9-8362-418D-C4E18DF80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3616" y="0"/>
          <a:ext cx="2367804" cy="1790776"/>
        </a:xfrm>
        <a:prstGeom prst="rect">
          <a:avLst/>
        </a:prstGeom>
      </xdr:spPr>
    </xdr:pic>
    <xdr:clientData/>
  </xdr:twoCellAnchor>
  <xdr:twoCellAnchor editAs="oneCell">
    <xdr:from>
      <xdr:col>6</xdr:col>
      <xdr:colOff>203338</xdr:colOff>
      <xdr:row>11</xdr:row>
      <xdr:rowOff>157282</xdr:rowOff>
    </xdr:from>
    <xdr:to>
      <xdr:col>11</xdr:col>
      <xdr:colOff>66675</xdr:colOff>
      <xdr:row>13</xdr:row>
      <xdr:rowOff>107328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C36397B-6415-00ED-F4A4-E808183C5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80263" y="2462332"/>
          <a:ext cx="3673337" cy="3310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714403</xdr:colOff>
      <xdr:row>0</xdr:row>
      <xdr:rowOff>0</xdr:rowOff>
    </xdr:from>
    <xdr:to>
      <xdr:col>18</xdr:col>
      <xdr:colOff>280655</xdr:colOff>
      <xdr:row>20</xdr:row>
      <xdr:rowOff>155926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0B8AD2-FADF-4F72-AE65-C830A765A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7638" y="0"/>
          <a:ext cx="4900252" cy="4246073"/>
        </a:xfrm>
        <a:prstGeom prst="rect">
          <a:avLst/>
        </a:prstGeom>
      </xdr:spPr>
    </xdr:pic>
    <xdr:clientData/>
  </xdr:twoCellAnchor>
  <xdr:twoCellAnchor editAs="oneCell">
    <xdr:from>
      <xdr:col>4</xdr:col>
      <xdr:colOff>589946</xdr:colOff>
      <xdr:row>1</xdr:row>
      <xdr:rowOff>67235</xdr:rowOff>
    </xdr:from>
    <xdr:to>
      <xdr:col>6</xdr:col>
      <xdr:colOff>497972</xdr:colOff>
      <xdr:row>4</xdr:row>
      <xdr:rowOff>83643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F53C96-C52B-4FC0-8BBD-6C08D562D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1240" y="470647"/>
          <a:ext cx="1319967" cy="632731"/>
        </a:xfrm>
        <a:prstGeom prst="rect">
          <a:avLst/>
        </a:prstGeom>
      </xdr:spPr>
    </xdr:pic>
    <xdr:clientData/>
  </xdr:twoCellAnchor>
  <xdr:twoCellAnchor editAs="oneCell">
    <xdr:from>
      <xdr:col>8</xdr:col>
      <xdr:colOff>29308</xdr:colOff>
      <xdr:row>0</xdr:row>
      <xdr:rowOff>347383</xdr:rowOff>
    </xdr:from>
    <xdr:to>
      <xdr:col>11</xdr:col>
      <xdr:colOff>111112</xdr:colOff>
      <xdr:row>9</xdr:row>
      <xdr:rowOff>168969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F23A94-CCA2-4E5D-8CBB-236EDF69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6543" y="347383"/>
          <a:ext cx="2367804" cy="1793821"/>
        </a:xfrm>
        <a:prstGeom prst="rect">
          <a:avLst/>
        </a:prstGeom>
      </xdr:spPr>
    </xdr:pic>
    <xdr:clientData/>
  </xdr:twoCellAnchor>
  <xdr:twoCellAnchor editAs="oneCell">
    <xdr:from>
      <xdr:col>7</xdr:col>
      <xdr:colOff>349015</xdr:colOff>
      <xdr:row>12</xdr:row>
      <xdr:rowOff>134871</xdr:rowOff>
    </xdr:from>
    <xdr:to>
      <xdr:col>12</xdr:col>
      <xdr:colOff>212352</xdr:colOff>
      <xdr:row>14</xdr:row>
      <xdr:rowOff>84917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748EF9-18A2-4148-9EEB-D7086B7F4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74250" y="2689812"/>
          <a:ext cx="3673337" cy="331046"/>
        </a:xfrm>
        <a:prstGeom prst="rect">
          <a:avLst/>
        </a:prstGeom>
      </xdr:spPr>
    </xdr:pic>
    <xdr:clientData/>
  </xdr:twoCellAnchor>
  <xdr:twoCellAnchor editAs="oneCell">
    <xdr:from>
      <xdr:col>10</xdr:col>
      <xdr:colOff>346363</xdr:colOff>
      <xdr:row>23</xdr:row>
      <xdr:rowOff>11003</xdr:rowOff>
    </xdr:from>
    <xdr:to>
      <xdr:col>20</xdr:col>
      <xdr:colOff>623454</xdr:colOff>
      <xdr:row>48</xdr:row>
      <xdr:rowOff>113772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10AF5E1-8E00-8B68-81C0-54A77525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42318" y="4686912"/>
          <a:ext cx="7897091" cy="500381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19</xdr:col>
      <xdr:colOff>380998</xdr:colOff>
      <xdr:row>0</xdr:row>
      <xdr:rowOff>311727</xdr:rowOff>
    </xdr:from>
    <xdr:to>
      <xdr:col>29</xdr:col>
      <xdr:colOff>389479</xdr:colOff>
      <xdr:row>25</xdr:row>
      <xdr:rowOff>34291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72669AF-4A90-03E4-BB68-EE3BC1C80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34953" y="311727"/>
          <a:ext cx="7628481" cy="491801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477E-980F-4A21-BC26-E4F955A0D101}">
  <dimension ref="A1:F25"/>
  <sheetViews>
    <sheetView zoomScaleNormal="100" workbookViewId="0">
      <selection activeCell="A26" sqref="A26:A27"/>
    </sheetView>
  </sheetViews>
  <sheetFormatPr baseColWidth="10" defaultRowHeight="15" x14ac:dyDescent="0.25"/>
  <cols>
    <col min="1" max="1" width="29" customWidth="1"/>
    <col min="2" max="2" width="15.140625" style="2" bestFit="1" customWidth="1"/>
    <col min="5" max="5" width="9.7109375" customWidth="1"/>
  </cols>
  <sheetData>
    <row r="1" spans="1:6" ht="31.5" x14ac:dyDescent="0.5">
      <c r="A1" s="9" t="s">
        <v>26</v>
      </c>
    </row>
    <row r="2" spans="1:6" x14ac:dyDescent="0.25">
      <c r="A2" t="s">
        <v>1</v>
      </c>
      <c r="B2" s="2">
        <v>205</v>
      </c>
      <c r="C2" t="s">
        <v>0</v>
      </c>
    </row>
    <row r="3" spans="1:6" x14ac:dyDescent="0.25">
      <c r="A3" t="s">
        <v>2</v>
      </c>
      <c r="B3" s="2">
        <v>275</v>
      </c>
      <c r="C3" t="s">
        <v>0</v>
      </c>
    </row>
    <row r="4" spans="1:6" x14ac:dyDescent="0.25">
      <c r="A4" t="s">
        <v>3</v>
      </c>
      <c r="B4" s="2">
        <v>450</v>
      </c>
      <c r="C4" t="s">
        <v>0</v>
      </c>
    </row>
    <row r="7" spans="1:6" x14ac:dyDescent="0.25">
      <c r="A7" t="s">
        <v>5</v>
      </c>
      <c r="B7" s="2" t="s">
        <v>7</v>
      </c>
      <c r="D7" t="s">
        <v>18</v>
      </c>
      <c r="E7" s="11">
        <v>60</v>
      </c>
      <c r="F7" t="s">
        <v>27</v>
      </c>
    </row>
    <row r="8" spans="1:6" x14ac:dyDescent="0.25">
      <c r="A8" t="s">
        <v>6</v>
      </c>
      <c r="B8" s="2" t="s">
        <v>7</v>
      </c>
      <c r="D8" t="s">
        <v>19</v>
      </c>
      <c r="E8" s="12">
        <f>+B16</f>
        <v>4.75</v>
      </c>
    </row>
    <row r="10" spans="1:6" x14ac:dyDescent="0.25">
      <c r="A10" t="s">
        <v>8</v>
      </c>
      <c r="B10" s="2">
        <v>25</v>
      </c>
      <c r="C10" t="s">
        <v>9</v>
      </c>
    </row>
    <row r="13" spans="1:6" x14ac:dyDescent="0.25">
      <c r="A13" t="s">
        <v>4</v>
      </c>
      <c r="B13" s="2">
        <v>38</v>
      </c>
      <c r="E13" t="s">
        <v>20</v>
      </c>
      <c r="F13" t="s">
        <v>21</v>
      </c>
    </row>
    <row r="14" spans="1:6" x14ac:dyDescent="0.25">
      <c r="A14" t="s">
        <v>22</v>
      </c>
      <c r="B14" s="2">
        <v>25</v>
      </c>
      <c r="E14" s="7">
        <v>0.33</v>
      </c>
      <c r="F14" s="4">
        <v>0.5</v>
      </c>
    </row>
    <row r="15" spans="1:6" x14ac:dyDescent="0.25">
      <c r="A15" t="s">
        <v>11</v>
      </c>
      <c r="B15" s="1">
        <v>44.5</v>
      </c>
      <c r="C15" t="s">
        <v>9</v>
      </c>
    </row>
    <row r="16" spans="1:6" x14ac:dyDescent="0.25">
      <c r="A16" t="s">
        <v>12</v>
      </c>
      <c r="B16" s="3">
        <v>4.75</v>
      </c>
      <c r="C16" t="s">
        <v>9</v>
      </c>
    </row>
    <row r="17" spans="1:6" x14ac:dyDescent="0.25">
      <c r="A17" t="s">
        <v>13</v>
      </c>
      <c r="B17" s="3">
        <v>3.2</v>
      </c>
      <c r="C17" t="s">
        <v>9</v>
      </c>
      <c r="E17" t="s">
        <v>15</v>
      </c>
      <c r="F17" t="s">
        <v>16</v>
      </c>
    </row>
    <row r="18" spans="1:6" x14ac:dyDescent="0.25">
      <c r="A18" t="s">
        <v>10</v>
      </c>
      <c r="B18" s="5">
        <f>+B16/B17</f>
        <v>1.484375</v>
      </c>
      <c r="E18" s="4">
        <v>1.33</v>
      </c>
      <c r="F18" s="4">
        <v>0.33</v>
      </c>
    </row>
    <row r="19" spans="1:6" x14ac:dyDescent="0.25">
      <c r="A19" t="s">
        <v>14</v>
      </c>
      <c r="B19" s="6">
        <f>+IF(B18&lt;2,E18,F18)</f>
        <v>1.33</v>
      </c>
    </row>
    <row r="21" spans="1:6" x14ac:dyDescent="0.25">
      <c r="A21" t="s">
        <v>17</v>
      </c>
      <c r="B21" s="3">
        <f>2*PI()*(E7/360)*(B16+(IF(B16&lt;2*B17,E14,F14))*B17)</f>
        <v>6.0800289822474456</v>
      </c>
      <c r="C21" t="s">
        <v>9</v>
      </c>
    </row>
    <row r="23" spans="1:6" x14ac:dyDescent="0.25">
      <c r="A23" s="4" t="s">
        <v>23</v>
      </c>
      <c r="B23" s="5">
        <f>+B21+B13+B14</f>
        <v>69.080028982247455</v>
      </c>
      <c r="C23" s="4" t="s">
        <v>9</v>
      </c>
    </row>
    <row r="25" spans="1:6" ht="18.75" x14ac:dyDescent="0.3">
      <c r="A25" s="4" t="s">
        <v>24</v>
      </c>
      <c r="B25" s="8">
        <f>B19*B4*B15*B17*B17/B10</f>
        <v>10908.979200000002</v>
      </c>
      <c r="C25" s="4" t="s">
        <v>25</v>
      </c>
      <c r="D25" s="13">
        <f>+B25/9.81</f>
        <v>1112.0264220183487</v>
      </c>
      <c r="E25" s="13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4BB8-30B3-4B7E-A91E-8B3DE676D878}">
  <dimension ref="A1:G24"/>
  <sheetViews>
    <sheetView showGridLines="0" tabSelected="1" zoomScaleNormal="100" workbookViewId="0">
      <pane xSplit="4" ySplit="27" topLeftCell="E31" activePane="bottomRight" state="frozen"/>
      <selection pane="topRight" activeCell="E1" sqref="E1"/>
      <selection pane="bottomLeft" activeCell="A28" sqref="A28"/>
      <selection pane="bottomRight" activeCell="F24" sqref="F24"/>
    </sheetView>
  </sheetViews>
  <sheetFormatPr baseColWidth="10" defaultRowHeight="15" x14ac:dyDescent="0.25"/>
  <cols>
    <col min="1" max="1" width="29" style="18" customWidth="1"/>
    <col min="2" max="2" width="18.42578125" style="20" customWidth="1"/>
    <col min="3" max="3" width="11.42578125" style="18"/>
    <col min="4" max="4" width="12.28515625" style="18" bestFit="1" customWidth="1"/>
    <col min="5" max="5" width="9.7109375" style="18" customWidth="1"/>
    <col min="6" max="16384" width="11.42578125" style="18"/>
  </cols>
  <sheetData>
    <row r="1" spans="1:6" ht="31.5" x14ac:dyDescent="0.25">
      <c r="A1" s="15" t="s">
        <v>26</v>
      </c>
      <c r="B1" s="16"/>
      <c r="C1" s="17"/>
      <c r="D1" s="17"/>
      <c r="E1" s="17"/>
      <c r="F1" s="17"/>
    </row>
    <row r="3" spans="1:6" ht="18.75" x14ac:dyDescent="0.25">
      <c r="A3" s="18" t="s">
        <v>37</v>
      </c>
      <c r="B3" s="19" t="s">
        <v>32</v>
      </c>
    </row>
    <row r="4" spans="1:6" x14ac:dyDescent="0.25">
      <c r="A4" s="18" t="s">
        <v>3</v>
      </c>
      <c r="B4" s="20">
        <f>+VLOOKUP(B3,BD!A:B,2,FALSE)</f>
        <v>550</v>
      </c>
      <c r="C4" s="18" t="s">
        <v>0</v>
      </c>
    </row>
    <row r="7" spans="1:6" x14ac:dyDescent="0.25">
      <c r="A7" s="18" t="s">
        <v>5</v>
      </c>
      <c r="B7" s="20" t="s">
        <v>7</v>
      </c>
      <c r="D7" s="18" t="s">
        <v>18</v>
      </c>
      <c r="E7" s="21">
        <v>90</v>
      </c>
      <c r="F7" s="18" t="s">
        <v>27</v>
      </c>
    </row>
    <row r="8" spans="1:6" x14ac:dyDescent="0.25">
      <c r="A8" s="18" t="s">
        <v>6</v>
      </c>
      <c r="B8" s="20" t="s">
        <v>7</v>
      </c>
      <c r="D8" s="18" t="s">
        <v>19</v>
      </c>
      <c r="E8" s="22">
        <f>+B16</f>
        <v>4.7751999999999999</v>
      </c>
    </row>
    <row r="10" spans="1:6" ht="15.75" x14ac:dyDescent="0.25">
      <c r="A10" s="18" t="s">
        <v>8</v>
      </c>
      <c r="B10" s="23">
        <v>12</v>
      </c>
      <c r="C10" s="18" t="s">
        <v>9</v>
      </c>
    </row>
    <row r="13" spans="1:6" x14ac:dyDescent="0.25">
      <c r="A13" s="18" t="s">
        <v>4</v>
      </c>
      <c r="B13" s="20">
        <v>50</v>
      </c>
      <c r="E13" s="18" t="s">
        <v>20</v>
      </c>
      <c r="F13" s="18" t="s">
        <v>21</v>
      </c>
    </row>
    <row r="14" spans="1:6" x14ac:dyDescent="0.25">
      <c r="A14" s="18" t="s">
        <v>22</v>
      </c>
      <c r="B14" s="20">
        <v>50</v>
      </c>
      <c r="E14" s="24">
        <v>0.33</v>
      </c>
      <c r="F14" s="25">
        <v>0.5</v>
      </c>
    </row>
    <row r="15" spans="1:6" x14ac:dyDescent="0.25">
      <c r="A15" s="18" t="s">
        <v>11</v>
      </c>
      <c r="B15" s="26">
        <v>2000</v>
      </c>
      <c r="C15" s="18" t="s">
        <v>9</v>
      </c>
    </row>
    <row r="16" spans="1:6" x14ac:dyDescent="0.25">
      <c r="A16" s="18" t="s">
        <v>12</v>
      </c>
      <c r="B16" s="27">
        <f>0.188*25.4</f>
        <v>4.7751999999999999</v>
      </c>
      <c r="C16" s="18" t="s">
        <v>9</v>
      </c>
    </row>
    <row r="17" spans="1:7" ht="15.75" x14ac:dyDescent="0.25">
      <c r="A17" s="18" t="s">
        <v>13</v>
      </c>
      <c r="B17" s="28">
        <v>2.66</v>
      </c>
      <c r="C17" s="18" t="s">
        <v>9</v>
      </c>
      <c r="E17" s="18" t="s">
        <v>15</v>
      </c>
      <c r="F17" s="18" t="s">
        <v>16</v>
      </c>
    </row>
    <row r="18" spans="1:7" x14ac:dyDescent="0.25">
      <c r="A18" s="18" t="s">
        <v>10</v>
      </c>
      <c r="B18" s="29">
        <f>+B16/B17</f>
        <v>1.7951879699248119</v>
      </c>
      <c r="E18" s="24">
        <v>1.33</v>
      </c>
      <c r="F18" s="25">
        <v>0.33</v>
      </c>
    </row>
    <row r="19" spans="1:7" x14ac:dyDescent="0.25">
      <c r="A19" s="18" t="s">
        <v>14</v>
      </c>
      <c r="B19" s="30">
        <f>+IF(B18&lt;2,E18,F18)</f>
        <v>1.33</v>
      </c>
    </row>
    <row r="21" spans="1:7" x14ac:dyDescent="0.25">
      <c r="A21" s="18" t="s">
        <v>17</v>
      </c>
      <c r="B21" s="27">
        <f>2*PI()*(E7/360)*(B16+(IF(B16&lt;2*B17,E14,F14))*B17)</f>
        <v>8.8797116353715513</v>
      </c>
      <c r="C21" s="18" t="s">
        <v>9</v>
      </c>
    </row>
    <row r="23" spans="1:7" x14ac:dyDescent="0.25">
      <c r="A23" s="25" t="s">
        <v>23</v>
      </c>
      <c r="B23" s="29">
        <f>+B21+B13+B14</f>
        <v>108.87971163537155</v>
      </c>
      <c r="C23" s="25" t="s">
        <v>9</v>
      </c>
    </row>
    <row r="24" spans="1:7" ht="26.25" x14ac:dyDescent="0.25">
      <c r="A24" s="25" t="s">
        <v>24</v>
      </c>
      <c r="B24" s="31">
        <f>B19*B4*B15*B17*B17/B10</f>
        <v>862633.56666666677</v>
      </c>
      <c r="C24" s="25" t="s">
        <v>25</v>
      </c>
      <c r="D24" s="32">
        <f>+B24/9.81</f>
        <v>87934.104655113842</v>
      </c>
      <c r="E24" s="32" t="s">
        <v>28</v>
      </c>
      <c r="F24" s="33">
        <f>+D24/1000</f>
        <v>87.934104655113842</v>
      </c>
      <c r="G24" s="34" t="s">
        <v>29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E54649-FD06-4F36-A317-08E55B9FB0D4}">
          <x14:formula1>
            <xm:f>BD!$A$2:$A$13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C952-2035-4A5B-AE95-B0D22EBA1FF1}">
  <dimension ref="A1:D6"/>
  <sheetViews>
    <sheetView zoomScale="145" zoomScaleNormal="145" workbookViewId="0">
      <selection activeCell="A5" sqref="A5"/>
    </sheetView>
  </sheetViews>
  <sheetFormatPr baseColWidth="10" defaultRowHeight="15" x14ac:dyDescent="0.25"/>
  <cols>
    <col min="1" max="1" width="35.7109375" customWidth="1"/>
    <col min="2" max="2" width="16.42578125" style="10" customWidth="1"/>
    <col min="4" max="4" width="16.42578125" style="10" customWidth="1"/>
  </cols>
  <sheetData>
    <row r="1" spans="1:4" ht="56.25" x14ac:dyDescent="0.25">
      <c r="A1" s="35" t="s">
        <v>34</v>
      </c>
      <c r="B1" s="36" t="s">
        <v>33</v>
      </c>
      <c r="D1" s="36" t="s">
        <v>33</v>
      </c>
    </row>
    <row r="2" spans="1:4" x14ac:dyDescent="0.25">
      <c r="A2" t="s">
        <v>36</v>
      </c>
      <c r="B2" s="10">
        <v>360</v>
      </c>
      <c r="D2" s="10">
        <v>360</v>
      </c>
    </row>
    <row r="3" spans="1:4" x14ac:dyDescent="0.25">
      <c r="A3" s="14" t="s">
        <v>30</v>
      </c>
      <c r="B3" s="10">
        <v>300</v>
      </c>
      <c r="D3" s="10">
        <v>250</v>
      </c>
    </row>
    <row r="4" spans="1:4" x14ac:dyDescent="0.25">
      <c r="A4" t="s">
        <v>31</v>
      </c>
      <c r="B4" s="10">
        <v>200</v>
      </c>
      <c r="D4" s="10">
        <v>200</v>
      </c>
    </row>
    <row r="5" spans="1:4" x14ac:dyDescent="0.25">
      <c r="A5" t="s">
        <v>32</v>
      </c>
      <c r="B5" s="10">
        <v>550</v>
      </c>
      <c r="D5" s="10">
        <v>550</v>
      </c>
    </row>
    <row r="6" spans="1:4" x14ac:dyDescent="0.25">
      <c r="A6" t="s">
        <v>35</v>
      </c>
      <c r="B6" s="10">
        <v>515</v>
      </c>
      <c r="D6" s="10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</vt:lpstr>
      <vt:lpstr>Cobre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Alberto Morales López</dc:creator>
  <cp:lastModifiedBy>Jesús Alberto Morales López</cp:lastModifiedBy>
  <dcterms:created xsi:type="dcterms:W3CDTF">2025-08-11T21:19:35Z</dcterms:created>
  <dcterms:modified xsi:type="dcterms:W3CDTF">2025-11-14T18:50:54Z</dcterms:modified>
</cp:coreProperties>
</file>